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x Tracker" sheetId="2" state="visible" r:id="rId2"/>
    <sheet name="Findings" sheetId="3" state="visible" r:id="rId3"/>
    <sheet name="Decisions" sheetId="4" state="visible" r:id="rId4"/>
  </sheets>
  <definedNames>
    <definedName name="_xlnm._FilterDatabase" localSheetId="1" hidden="1">'Fix Tracker'!$A$1:$N$44</definedName>
    <definedName name="_xlnm._FilterDatabase" localSheetId="2" hidden="1">'Findings'!$A$1:$G$14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1A1420"/>
      <sz val="16"/>
    </font>
    <font>
      <name val="Arial"/>
      <color rgb="00736C80"/>
      <sz val="10"/>
    </font>
    <font>
      <name val="Arial"/>
      <i val="1"/>
      <color rgb="00736C80"/>
      <sz val="10"/>
    </font>
    <font>
      <name val="Arial"/>
      <b val="1"/>
      <color rgb="008C1D3F"/>
      <sz val="11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color rgb="00A3201B"/>
      <sz val="10"/>
    </font>
    <font>
      <name val="Arial"/>
      <b val="1"/>
      <sz val="10"/>
    </font>
    <font>
      <name val="Arial"/>
      <b val="1"/>
      <color rgb="008A4B00"/>
      <sz val="10"/>
    </font>
    <font>
      <name val="Arial"/>
      <color rgb="003F5A8A"/>
      <sz val="10"/>
    </font>
    <font>
      <name val="Arial"/>
      <i val="1"/>
      <color rgb="00736C80"/>
      <sz val="9"/>
    </font>
    <font>
      <name val="Arial"/>
      <b val="1"/>
      <color rgb="001D6249"/>
      <sz val="10"/>
    </font>
  </fonts>
  <fills count="9">
    <fill>
      <patternFill/>
    </fill>
    <fill>
      <patternFill patternType="gray125"/>
    </fill>
    <fill>
      <patternFill patternType="solid">
        <fgColor rgb="001A1420"/>
      </patternFill>
    </fill>
    <fill>
      <patternFill patternType="solid">
        <fgColor rgb="00E3F1EB"/>
      </patternFill>
    </fill>
    <fill>
      <patternFill patternType="solid">
        <fgColor rgb="00FFF9DB"/>
      </patternFill>
    </fill>
    <fill>
      <patternFill patternType="solid">
        <fgColor rgb="00FBEEDD"/>
      </patternFill>
    </fill>
    <fill>
      <patternFill patternType="solid">
        <fgColor rgb="00E7EDF7"/>
      </patternFill>
    </fill>
    <fill>
      <patternFill patternType="solid">
        <fgColor rgb="00F5E6EC"/>
      </patternFill>
    </fill>
    <fill>
      <patternFill patternType="solid">
        <fgColor rgb="00F5F3F7"/>
      </patternFill>
    </fill>
  </fills>
  <borders count="2">
    <border>
      <left/>
      <right/>
      <top/>
      <bottom/>
      <diagonal/>
    </border>
    <border>
      <left style="thin">
        <color rgb="00D8D4E0"/>
      </left>
      <right style="thin">
        <color rgb="00D8D4E0"/>
      </right>
      <top style="thin">
        <color rgb="00D8D4E0"/>
      </top>
      <bottom style="thin">
        <color rgb="00D8D4E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5" fillId="0" borderId="0" applyAlignment="1" pivotButton="0" quotePrefix="0" xfId="0">
      <alignment vertical="top" wrapText="1"/>
    </xf>
    <xf numFmtId="0" fontId="7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9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center" vertical="top" wrapText="1"/>
    </xf>
    <xf numFmtId="0" fontId="12" fillId="0" borderId="0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8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8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3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inBeat on-page SEO — fix tracker</t>
        </is>
      </c>
    </row>
    <row r="2">
      <c r="A2" s="2" t="inlineStr">
        <is>
          <t>Audit of inbeat.agency, 13 August 2026. 445 sitemap URLs crawled, 421 live pages parsed.</t>
        </is>
      </c>
    </row>
    <row r="3">
      <c r="A3" s="3" t="inlineStr">
        <is>
          <t>Counts below are live formulas — they update as the team fills in the Status column on 'Fix Tracker'.</t>
        </is>
      </c>
    </row>
    <row r="5">
      <c r="A5" s="4" t="inlineStr">
        <is>
          <t>By owner</t>
        </is>
      </c>
    </row>
    <row r="6">
      <c r="A6" s="5" t="inlineStr">
        <is>
          <t>MCP</t>
        </is>
      </c>
      <c r="B6" s="6">
        <f>COUNTIF('Fix Tracker'!$H:$H,"MCP")</f>
        <v/>
      </c>
    </row>
    <row r="7">
      <c r="A7" s="5" t="inlineStr">
        <is>
          <t>Designer</t>
        </is>
      </c>
      <c r="B7" s="6">
        <f>COUNTIF('Fix Tracker'!$H:$H,"Designer")</f>
        <v/>
      </c>
    </row>
    <row r="8">
      <c r="A8" s="5" t="inlineStr">
        <is>
          <t>Settings</t>
        </is>
      </c>
      <c r="B8" s="6">
        <f>COUNTIF('Fix Tracker'!$H:$H,"Settings")</f>
        <v/>
      </c>
    </row>
    <row r="9">
      <c r="A9" s="5" t="inlineStr">
        <is>
          <t>inBeat</t>
        </is>
      </c>
      <c r="B9" s="6">
        <f>COUNTIF('Fix Tracker'!$H:$H,"inBeat")</f>
        <v/>
      </c>
    </row>
    <row r="11">
      <c r="A11" s="4" t="inlineStr">
        <is>
          <t>By priority</t>
        </is>
      </c>
    </row>
    <row r="12">
      <c r="A12" s="5" t="inlineStr">
        <is>
          <t>Critical</t>
        </is>
      </c>
      <c r="B12" s="6">
        <f>COUNTIF('Fix Tracker'!$C:$C,"Critical")</f>
        <v/>
      </c>
    </row>
    <row r="13">
      <c r="A13" s="5" t="inlineStr">
        <is>
          <t>High</t>
        </is>
      </c>
      <c r="B13" s="6">
        <f>COUNTIF('Fix Tracker'!$C:$C,"High")</f>
        <v/>
      </c>
    </row>
    <row r="14">
      <c r="A14" s="5" t="inlineStr">
        <is>
          <t>Medium</t>
        </is>
      </c>
      <c r="B14" s="6">
        <f>COUNTIF('Fix Tracker'!$C:$C,"Medium")</f>
        <v/>
      </c>
    </row>
    <row r="15">
      <c r="A15" s="5" t="inlineStr">
        <is>
          <t>Low</t>
        </is>
      </c>
      <c r="B15" s="6">
        <f>COUNTIF('Fix Tracker'!$C:$C,"Low")</f>
        <v/>
      </c>
    </row>
    <row r="17">
      <c r="A17" s="4" t="inlineStr">
        <is>
          <t>By status</t>
        </is>
      </c>
    </row>
    <row r="18">
      <c r="A18" s="5" t="inlineStr">
        <is>
          <t>Not started</t>
        </is>
      </c>
      <c r="B18" s="6">
        <f>COUNTIF('Fix Tracker'!$K:$K,"Not started")</f>
        <v/>
      </c>
    </row>
    <row r="19">
      <c r="A19" s="5" t="inlineStr">
        <is>
          <t>In progress</t>
        </is>
      </c>
      <c r="B19" s="6">
        <f>COUNTIF('Fix Tracker'!$K:$K,"In progress")</f>
        <v/>
      </c>
    </row>
    <row r="20">
      <c r="A20" s="5" t="inlineStr">
        <is>
          <t>Blocked</t>
        </is>
      </c>
      <c r="B20" s="6">
        <f>COUNTIF('Fix Tracker'!$K:$K,"Blocked")</f>
        <v/>
      </c>
    </row>
    <row r="21">
      <c r="A21" s="5" t="inlineStr">
        <is>
          <t>Done</t>
        </is>
      </c>
      <c r="B21" s="6">
        <f>COUNTIF('Fix Tracker'!$K:$K,"Done")</f>
        <v/>
      </c>
    </row>
    <row r="22">
      <c r="A22" s="5" t="inlineStr">
        <is>
          <t>Won't do</t>
        </is>
      </c>
      <c r="B22" s="6">
        <f>COUNTIF('Fix Tracker'!$K:$K,"Won't do")</f>
        <v/>
      </c>
    </row>
    <row r="24">
      <c r="A24" s="4" t="inlineStr">
        <is>
          <t>Total changes</t>
        </is>
      </c>
      <c r="B24" s="7">
        <f>COUNTA('Fix Tracker'!$A$2:$A$1000)</f>
        <v/>
      </c>
    </row>
    <row r="26">
      <c r="A26" s="4" t="inlineStr">
        <is>
          <t>% complete</t>
        </is>
      </c>
      <c r="B26" s="8">
        <f>IFERROR(COUNTIF('Fix Tracker'!$K:$K,"Done")/COUNTA('Fix Tracker'!$A$2:$A$1000),0)</f>
        <v/>
      </c>
    </row>
    <row r="29">
      <c r="A29" s="4" t="inlineStr">
        <is>
          <t>How to use this workbook</t>
        </is>
      </c>
    </row>
    <row r="30" ht="26" customHeight="1">
      <c r="A30" s="9" t="inlineStr">
        <is>
          <t>Fix Tracker — every change, one per row. Edit only the shaded columns: Status, Assignee, Target date, Notes.</t>
        </is>
      </c>
    </row>
    <row r="31" ht="26" customHeight="1">
      <c r="A31" s="9" t="inlineStr">
        <is>
          <t>Owner column: MCP = automated via the Webflow API. Designer = Webflow canvas. Settings = Webflow site settings. inBeat = your decision or content.</t>
        </is>
      </c>
    </row>
    <row r="32" ht="26" customHeight="1">
      <c r="A32" s="9" t="inlineStr">
        <is>
          <t>Findings — the underlying audit evidence, so anyone can verify a fix is warranted before doing it.</t>
        </is>
      </c>
    </row>
    <row r="33" ht="26" customHeight="1">
      <c r="A33" s="9" t="inlineStr">
        <is>
          <t>Decisions — the eight items blocking work, each with what it unblocks.</t>
        </is>
      </c>
    </row>
    <row r="34" ht="26" customHeight="1">
      <c r="A34" s="9" t="inlineStr">
        <is>
          <t>Start with phase 1 (rows 1-5). It is one API call and repairs structured data on all 264 posts.</t>
        </is>
      </c>
    </row>
  </sheetData>
  <mergeCells count="5">
    <mergeCell ref="A33:F33"/>
    <mergeCell ref="A32:F32"/>
    <mergeCell ref="A31:F31"/>
    <mergeCell ref="A34:F34"/>
    <mergeCell ref="A30:F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9" customWidth="1" min="3" max="3"/>
    <col width="11" customWidth="1" min="4" max="4"/>
    <col width="46" customWidth="1" min="5" max="5"/>
    <col width="58" customWidth="1" min="6" max="6"/>
    <col width="11" customWidth="1" min="7" max="7"/>
    <col width="10" customWidth="1" min="8" max="8"/>
    <col width="34" customWidth="1" min="9" max="9"/>
    <col width="22" customWidth="1" min="10" max="10"/>
    <col width="13" customWidth="1" min="11" max="11"/>
    <col width="14" customWidth="1" min="12" max="12"/>
    <col width="12" customWidth="1" min="13" max="13"/>
    <col width="30" customWidth="1" min="14" max="14"/>
  </cols>
  <sheetData>
    <row r="1" ht="30" customHeight="1">
      <c r="A1" s="10" t="inlineStr">
        <is>
          <t>ID</t>
        </is>
      </c>
      <c r="B1" s="10" t="inlineStr">
        <is>
          <t>Phase</t>
        </is>
      </c>
      <c r="C1" s="10" t="inlineStr">
        <is>
          <t>Priority</t>
        </is>
      </c>
      <c r="D1" s="10" t="inlineStr">
        <is>
          <t>Area</t>
        </is>
      </c>
      <c r="E1" s="10" t="inlineStr">
        <is>
          <t>Change</t>
        </is>
      </c>
      <c r="F1" s="10" t="inlineStr">
        <is>
          <t>Why it matters</t>
        </is>
      </c>
      <c r="G1" s="10" t="inlineStr">
        <is>
          <t>Scale</t>
        </is>
      </c>
      <c r="H1" s="10" t="inlineStr">
        <is>
          <t>Owner</t>
        </is>
      </c>
      <c r="I1" s="10" t="inlineStr">
        <is>
          <t>Tool / location</t>
        </is>
      </c>
      <c r="J1" s="10" t="inlineStr">
        <is>
          <t>Blocked by</t>
        </is>
      </c>
      <c r="K1" s="10" t="inlineStr">
        <is>
          <t>Status</t>
        </is>
      </c>
      <c r="L1" s="10" t="inlineStr">
        <is>
          <t>Assignee</t>
        </is>
      </c>
      <c r="M1" s="10" t="inlineStr">
        <is>
          <t>Target date</t>
        </is>
      </c>
      <c r="N1" s="10" t="inlineStr">
        <is>
          <t>Notes</t>
        </is>
      </c>
    </row>
    <row r="2" ht="42" customHeight="1">
      <c r="A2" s="11" t="n">
        <v>1</v>
      </c>
      <c r="B2" s="11" t="inlineStr">
        <is>
          <t>1</t>
        </is>
      </c>
      <c r="C2" s="12" t="inlineStr">
        <is>
          <t>Critical</t>
        </is>
      </c>
      <c r="D2" s="13" t="inlineStr">
        <is>
          <t>Schema</t>
        </is>
      </c>
      <c r="E2" s="13" t="inlineStr">
        <is>
          <t>Point the date selector at #updatedOn</t>
        </is>
      </c>
      <c r="F2" s="13" t="inlineStr">
        <is>
          <t>Template renders id=updatedOn but the script reads #dateUpdated, so it throws on null and aborts before injecting anything</t>
        </is>
      </c>
      <c r="G2" s="11" t="inlineStr">
        <is>
          <t>264 posts</t>
        </is>
      </c>
      <c r="H2" s="14" t="inlineStr">
        <is>
          <t>MCP</t>
        </is>
      </c>
      <c r="I2" s="13" t="inlineStr">
        <is>
          <t>set_page_freeform_code · detail_blog</t>
        </is>
      </c>
      <c r="J2" s="13" t="inlineStr">
        <is>
          <t>Publishing window (36)</t>
        </is>
      </c>
      <c r="K2" s="15" t="inlineStr">
        <is>
          <t>Not started</t>
        </is>
      </c>
      <c r="L2" s="15" t="inlineStr">
        <is>
          <t>Claude (MCP)</t>
        </is>
      </c>
      <c r="M2" s="15" t="inlineStr">
        <is>
          <t>2026-08-14</t>
        </is>
      </c>
      <c r="N2" s="15" t="inlineStr">
        <is>
          <t>Code written and tested; awaiting publishing window</t>
        </is>
      </c>
    </row>
    <row r="3" ht="42" customHeight="1">
      <c r="A3" s="11" t="n">
        <v>2</v>
      </c>
      <c r="B3" s="11" t="inlineStr">
        <is>
          <t>1</t>
        </is>
      </c>
      <c r="C3" s="12" t="inlineStr">
        <is>
          <t>Critical</t>
        </is>
      </c>
      <c r="D3" s="13" t="inlineStr">
        <is>
          <t>Schema</t>
        </is>
      </c>
      <c r="E3" s="13" t="inlineStr">
        <is>
          <t>Convert both dates to ISO 8601</t>
        </is>
      </c>
      <c r="F3" s="13" t="inlineStr">
        <is>
          <t>The DOM holds 'March 19, 2026', which is not a valid datePublished value even once the selector is fixed</t>
        </is>
      </c>
      <c r="G3" s="11" t="inlineStr">
        <is>
          <t>264 posts</t>
        </is>
      </c>
      <c r="H3" s="14" t="inlineStr">
        <is>
          <t>MCP</t>
        </is>
      </c>
      <c r="I3" s="13" t="inlineStr">
        <is>
          <t>set_page_freeform_code · detail_blog</t>
        </is>
      </c>
      <c r="J3" s="13" t="inlineStr">
        <is>
          <t>Publishing window (36)</t>
        </is>
      </c>
      <c r="K3" s="15" t="inlineStr">
        <is>
          <t>Not started</t>
        </is>
      </c>
      <c r="L3" s="15" t="inlineStr"/>
      <c r="M3" s="15" t="inlineStr"/>
      <c r="N3" s="15" t="inlineStr"/>
    </row>
    <row r="4" ht="42" customHeight="1">
      <c r="A4" s="11" t="n">
        <v>3</v>
      </c>
      <c r="B4" s="11" t="inlineStr">
        <is>
          <t>1</t>
        </is>
      </c>
      <c r="C4" s="12" t="inlineStr">
        <is>
          <t>Critical</t>
        </is>
      </c>
      <c r="D4" s="13" t="inlineStr">
        <is>
          <t>Schema</t>
        </is>
      </c>
      <c r="E4" s="13" t="inlineStr">
        <is>
          <t>Emit author as Person with @id on a normalised /author/ URL</t>
        </is>
      </c>
      <c r="F4" s="13" t="inlineStr">
        <is>
          <t>Live schema credits the Organization; bylines otherwise pass 301 URLs straight into the markup</t>
        </is>
      </c>
      <c r="G4" s="11" t="inlineStr">
        <is>
          <t>264 posts</t>
        </is>
      </c>
      <c r="H4" s="14" t="inlineStr">
        <is>
          <t>MCP</t>
        </is>
      </c>
      <c r="I4" s="13" t="inlineStr">
        <is>
          <t>set_page_freeform_code · detail_blog</t>
        </is>
      </c>
      <c r="J4" s="13" t="inlineStr">
        <is>
          <t>Publishing window (36)</t>
        </is>
      </c>
      <c r="K4" s="15" t="inlineStr">
        <is>
          <t>Not started</t>
        </is>
      </c>
      <c r="L4" s="15" t="inlineStr"/>
      <c r="M4" s="15" t="inlineStr"/>
      <c r="N4" s="15" t="inlineStr"/>
    </row>
    <row r="5" ht="42" customHeight="1">
      <c r="A5" s="11" t="n">
        <v>4</v>
      </c>
      <c r="B5" s="11" t="inlineStr">
        <is>
          <t>1</t>
        </is>
      </c>
      <c r="C5" s="16" t="inlineStr">
        <is>
          <t>High</t>
        </is>
      </c>
      <c r="D5" s="13" t="inlineStr">
        <is>
          <t>Schema</t>
        </is>
      </c>
      <c r="E5" s="13" t="inlineStr">
        <is>
          <t>Add @id and mainEntityOfPage; reference Organization by @id</t>
        </is>
      </c>
      <c r="F5" s="13" t="inlineStr">
        <is>
          <t>Removes the stale uploads-ssl.webflow.com logo URL and ties the post to the existing Organization node</t>
        </is>
      </c>
      <c r="G5" s="11" t="inlineStr">
        <is>
          <t>264 posts</t>
        </is>
      </c>
      <c r="H5" s="14" t="inlineStr">
        <is>
          <t>MCP</t>
        </is>
      </c>
      <c r="I5" s="13" t="inlineStr">
        <is>
          <t>set_page_freeform_code · detail_blog</t>
        </is>
      </c>
      <c r="J5" s="13" t="inlineStr">
        <is>
          <t>Publishing window (36)</t>
        </is>
      </c>
      <c r="K5" s="15" t="inlineStr">
        <is>
          <t>Not started</t>
        </is>
      </c>
      <c r="L5" s="15" t="inlineStr"/>
      <c r="M5" s="15" t="inlineStr"/>
      <c r="N5" s="15" t="inlineStr"/>
    </row>
    <row r="6" ht="42" customHeight="1">
      <c r="A6" s="11" t="n">
        <v>5</v>
      </c>
      <c r="B6" s="11" t="inlineStr">
        <is>
          <t>1</t>
        </is>
      </c>
      <c r="C6" s="12" t="inlineStr">
        <is>
          <t>Critical</t>
        </is>
      </c>
      <c r="D6" s="13" t="inlineStr">
        <is>
          <t>Schema</t>
        </is>
      </c>
      <c r="E6" s="13" t="inlineStr">
        <is>
          <t>Remove the site-wide fallback node before appending</t>
        </is>
      </c>
      <c r="F6" s="13" t="inlineStr">
        <is>
          <t>Fallback ships BlogPosting with author: Organization and no dates on every post</t>
        </is>
      </c>
      <c r="G6" s="11" t="inlineStr">
        <is>
          <t>264 posts</t>
        </is>
      </c>
      <c r="H6" s="14" t="inlineStr">
        <is>
          <t>MCP</t>
        </is>
      </c>
      <c r="I6" s="13" t="inlineStr">
        <is>
          <t>set_page_freeform_code · detail_blog</t>
        </is>
      </c>
      <c r="J6" s="13" t="inlineStr">
        <is>
          <t>Publishing window (36)</t>
        </is>
      </c>
      <c r="K6" s="15" t="inlineStr">
        <is>
          <t>Not started</t>
        </is>
      </c>
      <c r="L6" s="15" t="inlineStr"/>
      <c r="M6" s="15" t="inlineStr"/>
      <c r="N6" s="15" t="inlineStr"/>
    </row>
    <row r="7" ht="42" customHeight="1">
      <c r="A7" s="11" t="n">
        <v>6</v>
      </c>
      <c r="B7" s="11" t="inlineStr">
        <is>
          <t>4</t>
        </is>
      </c>
      <c r="C7" s="16" t="inlineStr">
        <is>
          <t>High</t>
        </is>
      </c>
      <c r="D7" s="13" t="inlineStr">
        <is>
          <t>Author</t>
        </is>
      </c>
      <c r="E7" s="13" t="inlineStr">
        <is>
          <t>ProfilePage + Person schema bound to the new author fields</t>
        </is>
      </c>
      <c r="F7" s="13" t="inlineStr">
        <is>
          <t>No Person or ProfilePage schema exists anywhere on the site today</t>
        </is>
      </c>
      <c r="G7" s="11" t="inlineStr">
        <is>
          <t>16 pages</t>
        </is>
      </c>
      <c r="H7" s="14" t="inlineStr">
        <is>
          <t>MCP</t>
        </is>
      </c>
      <c r="I7" s="13" t="inlineStr">
        <is>
          <t>set_page_freeform_code · detail_author</t>
        </is>
      </c>
      <c r="J7" s="13" t="inlineStr">
        <is>
          <t>Fields (11), content (39)</t>
        </is>
      </c>
      <c r="K7" s="15" t="inlineStr">
        <is>
          <t>Not started</t>
        </is>
      </c>
      <c r="L7" s="15" t="inlineStr"/>
      <c r="M7" s="15" t="inlineStr"/>
      <c r="N7" s="15" t="inlineStr"/>
    </row>
    <row r="8" ht="42" customHeight="1">
      <c r="A8" s="11" t="n">
        <v>7</v>
      </c>
      <c r="B8" s="11" t="inlineStr">
        <is>
          <t>6</t>
        </is>
      </c>
      <c r="C8" s="17" t="inlineStr">
        <is>
          <t>Medium</t>
        </is>
      </c>
      <c r="D8" s="13" t="inlineStr">
        <is>
          <t>Category</t>
        </is>
      </c>
      <c r="E8" s="13" t="inlineStr">
        <is>
          <t>CollectionPage + ItemList on category pages</t>
        </is>
      </c>
      <c r="F8" s="13" t="inlineStr">
        <is>
          <t>Category pages carry no page-level schema at all</t>
        </is>
      </c>
      <c r="G8" s="11" t="inlineStr">
        <is>
          <t>10 pages</t>
        </is>
      </c>
      <c r="H8" s="14" t="inlineStr">
        <is>
          <t>MCP</t>
        </is>
      </c>
      <c r="I8" s="13" t="inlineStr">
        <is>
          <t>set_page_freeform_code · detail_categories</t>
        </is>
      </c>
      <c r="J8" s="13" t="inlineStr">
        <is>
          <t>Fields (12)</t>
        </is>
      </c>
      <c r="K8" s="15" t="inlineStr">
        <is>
          <t>Not started</t>
        </is>
      </c>
      <c r="L8" s="15" t="inlineStr"/>
      <c r="M8" s="15" t="inlineStr"/>
      <c r="N8" s="15" t="inlineStr"/>
    </row>
    <row r="9" ht="42" customHeight="1">
      <c r="A9" s="11" t="n">
        <v>8</v>
      </c>
      <c r="B9" s="11" t="inlineStr">
        <is>
          <t>7</t>
        </is>
      </c>
      <c r="C9" s="17" t="inlineStr">
        <is>
          <t>Medium</t>
        </is>
      </c>
      <c r="D9" s="13" t="inlineStr">
        <is>
          <t>Schema</t>
        </is>
      </c>
      <c r="E9" s="13" t="inlineStr">
        <is>
          <t>FAQPage schema for the five homepage Q&amp;As</t>
        </is>
      </c>
      <c r="F9" s="13" t="inlineStr">
        <is>
          <t>Homepage FAQ renders as plain H3s; only 12 service pages carry FAQPage</t>
        </is>
      </c>
      <c r="G9" s="11" t="inlineStr">
        <is>
          <t>1 page</t>
        </is>
      </c>
      <c r="H9" s="14" t="inlineStr">
        <is>
          <t>MCP</t>
        </is>
      </c>
      <c r="I9" s="13" t="inlineStr">
        <is>
          <t>set_page_freeform_code · home</t>
        </is>
      </c>
      <c r="J9" s="13" t="inlineStr"/>
      <c r="K9" s="15" t="inlineStr">
        <is>
          <t>Not started</t>
        </is>
      </c>
      <c r="L9" s="15" t="inlineStr"/>
      <c r="M9" s="15" t="inlineStr"/>
      <c r="N9" s="15" t="inlineStr"/>
    </row>
    <row r="10" ht="42" customHeight="1">
      <c r="A10" s="11" t="n">
        <v>9</v>
      </c>
      <c r="B10" s="11" t="inlineStr">
        <is>
          <t>7</t>
        </is>
      </c>
      <c r="C10" s="17" t="inlineStr">
        <is>
          <t>Medium</t>
        </is>
      </c>
      <c r="D10" s="13" t="inlineStr">
        <is>
          <t>Schema</t>
        </is>
      </c>
      <c r="E10" s="13" t="inlineStr">
        <is>
          <t>Rewrite breadcrumbs: three tiers, live title, real /blog level</t>
        </is>
      </c>
      <c r="F10" s="13" t="inlineStr">
        <is>
          <t>Position 1 is hardcoded to a stale title and posts get Home &gt; Post with no /blog tier</t>
        </is>
      </c>
      <c r="G10" s="11" t="inlineStr">
        <is>
          <t>All pages</t>
        </is>
      </c>
      <c r="H10" s="14" t="inlineStr">
        <is>
          <t>MCP</t>
        </is>
      </c>
      <c r="I10" s="13" t="inlineStr">
        <is>
          <t>set_site_freeform_code</t>
        </is>
      </c>
      <c r="J10" s="13" t="inlineStr"/>
      <c r="K10" s="15" t="inlineStr">
        <is>
          <t>Not started</t>
        </is>
      </c>
      <c r="L10" s="15" t="inlineStr"/>
      <c r="M10" s="15" t="inlineStr"/>
      <c r="N10" s="15" t="inlineStr"/>
    </row>
    <row r="11" ht="42" customHeight="1">
      <c r="A11" s="11" t="n">
        <v>10</v>
      </c>
      <c r="B11" s="11" t="inlineStr">
        <is>
          <t>7</t>
        </is>
      </c>
      <c r="C11" s="18" t="inlineStr">
        <is>
          <t>Low</t>
        </is>
      </c>
      <c r="D11" s="13" t="inlineStr">
        <is>
          <t>Schema</t>
        </is>
      </c>
      <c r="E11" s="13" t="inlineStr">
        <is>
          <t>Remove the empty ld+json script tag</t>
        </is>
      </c>
      <c r="F11" s="13" t="inlineStr">
        <is>
          <t>Ships on 264 pages and trips structured-data validators</t>
        </is>
      </c>
      <c r="G11" s="11" t="inlineStr">
        <is>
          <t>264 pages</t>
        </is>
      </c>
      <c r="H11" s="14" t="inlineStr">
        <is>
          <t>MCP</t>
        </is>
      </c>
      <c r="I11" s="13" t="inlineStr">
        <is>
          <t>set_site_freeform_code</t>
        </is>
      </c>
      <c r="J11" s="13" t="inlineStr"/>
      <c r="K11" s="15" t="inlineStr">
        <is>
          <t>Not started</t>
        </is>
      </c>
      <c r="L11" s="15" t="inlineStr"/>
      <c r="M11" s="15" t="inlineStr"/>
      <c r="N11" s="15" t="inlineStr"/>
    </row>
    <row r="12" ht="42" customHeight="1">
      <c r="A12" s="11" t="n">
        <v>11</v>
      </c>
      <c r="B12" s="11" t="inlineStr">
        <is>
          <t>3</t>
        </is>
      </c>
      <c r="C12" s="16" t="inlineStr">
        <is>
          <t>High</t>
        </is>
      </c>
      <c r="D12" s="13" t="inlineStr">
        <is>
          <t>CMS</t>
        </is>
      </c>
      <c r="E12" s="13" t="inlineStr">
        <is>
          <t>Add 6 Authors fields: Job Title, Headshot, LinkedIn, X, Credentials, Meta Description</t>
        </is>
      </c>
      <c r="F12" s="13" t="inlineStr">
        <is>
          <t>Collection has only Bio/Name/Slug, so there is nothing to build Person schema from</t>
        </is>
      </c>
      <c r="G12" s="11" t="inlineStr">
        <is>
          <t>1 collection</t>
        </is>
      </c>
      <c r="H12" s="14" t="inlineStr">
        <is>
          <t>MCP</t>
        </is>
      </c>
      <c r="I12" s="13" t="inlineStr">
        <is>
          <t>create_collection_static_field</t>
        </is>
      </c>
      <c r="J12" s="13" t="inlineStr">
        <is>
          <t>Designer layout (29)</t>
        </is>
      </c>
      <c r="K12" s="15" t="inlineStr">
        <is>
          <t>Not started</t>
        </is>
      </c>
      <c r="L12" s="15" t="inlineStr"/>
      <c r="M12" s="15" t="inlineStr"/>
      <c r="N12" s="15" t="inlineStr"/>
    </row>
    <row r="13" ht="42" customHeight="1">
      <c r="A13" s="11" t="n">
        <v>12</v>
      </c>
      <c r="B13" s="11" t="inlineStr">
        <is>
          <t>6</t>
        </is>
      </c>
      <c r="C13" s="17" t="inlineStr">
        <is>
          <t>Medium</t>
        </is>
      </c>
      <c r="D13" s="13" t="inlineStr">
        <is>
          <t>CMS</t>
        </is>
      </c>
      <c r="E13" s="13" t="inlineStr">
        <is>
          <t>Add Categories fields: Description, Meta Description</t>
        </is>
      </c>
      <c r="F13" s="13" t="inlineStr">
        <is>
          <t>Meta description is bound to the slug field, so pages ship descriptions reading 'ugc'</t>
        </is>
      </c>
      <c r="G13" s="11" t="inlineStr">
        <is>
          <t>1 collection</t>
        </is>
      </c>
      <c r="H13" s="14" t="inlineStr">
        <is>
          <t>MCP</t>
        </is>
      </c>
      <c r="I13" s="13" t="inlineStr">
        <is>
          <t>create_collection_static_field</t>
        </is>
      </c>
      <c r="J13" s="13" t="inlineStr"/>
      <c r="K13" s="15" t="inlineStr">
        <is>
          <t>Not started</t>
        </is>
      </c>
      <c r="L13" s="15" t="inlineStr"/>
      <c r="M13" s="15" t="inlineStr"/>
      <c r="N13" s="15" t="inlineStr"/>
    </row>
    <row r="14" ht="42" customHeight="1">
      <c r="A14" s="11" t="n">
        <v>13</v>
      </c>
      <c r="B14" s="11" t="inlineStr">
        <is>
          <t>5</t>
        </is>
      </c>
      <c r="C14" s="17" t="inlineStr">
        <is>
          <t>Medium</t>
        </is>
      </c>
      <c r="D14" s="13" t="inlineStr">
        <is>
          <t>CMS</t>
        </is>
      </c>
      <c r="E14" s="13" t="inlineStr">
        <is>
          <t>Add a Blogs 'Last Updated' date field</t>
        </is>
      </c>
      <c r="F14" s="13" t="inlineStr">
        <is>
          <t>No updated-date field exists; the modified date is typed by hand into a DOM element</t>
        </is>
      </c>
      <c r="G14" s="11" t="inlineStr">
        <is>
          <t>1 collection</t>
        </is>
      </c>
      <c r="H14" s="14" t="inlineStr">
        <is>
          <t>MCP</t>
        </is>
      </c>
      <c r="I14" s="13" t="inlineStr">
        <is>
          <t>create_collection_static_field</t>
        </is>
      </c>
      <c r="J14" s="13" t="inlineStr">
        <is>
          <t>Decision (41)</t>
        </is>
      </c>
      <c r="K14" s="15" t="inlineStr">
        <is>
          <t>Not started</t>
        </is>
      </c>
      <c r="L14" s="15" t="inlineStr"/>
      <c r="M14" s="15" t="inlineStr"/>
      <c r="N14" s="15" t="inlineStr"/>
    </row>
    <row r="15" ht="42" customHeight="1">
      <c r="A15" s="11" t="n">
        <v>14</v>
      </c>
      <c r="B15" s="11" t="inlineStr">
        <is>
          <t>3</t>
        </is>
      </c>
      <c r="C15" s="16" t="inlineStr">
        <is>
          <t>High</t>
        </is>
      </c>
      <c r="D15" s="13" t="inlineStr">
        <is>
          <t>CMS</t>
        </is>
      </c>
      <c r="E15" s="13" t="inlineStr">
        <is>
          <t>Populate all 16 author records</t>
        </is>
      </c>
      <c r="F15" s="13" t="inlineStr">
        <is>
          <t>9 of 16 authors have empty bios, which is why 6 author pages ship with no meta description</t>
        </is>
      </c>
      <c r="G15" s="11" t="inlineStr">
        <is>
          <t>16 items</t>
        </is>
      </c>
      <c r="H15" s="14" t="inlineStr">
        <is>
          <t>MCP</t>
        </is>
      </c>
      <c r="I15" s="13" t="inlineStr">
        <is>
          <t>update_collection_items</t>
        </is>
      </c>
      <c r="J15" s="13" t="inlineStr">
        <is>
          <t>Content (39)</t>
        </is>
      </c>
      <c r="K15" s="15" t="inlineStr">
        <is>
          <t>Not started</t>
        </is>
      </c>
      <c r="L15" s="15" t="inlineStr"/>
      <c r="M15" s="15" t="inlineStr"/>
      <c r="N15" s="15" t="inlineStr"/>
    </row>
    <row r="16" ht="42" customHeight="1">
      <c r="A16" s="11" t="n">
        <v>15</v>
      </c>
      <c r="B16" s="11" t="inlineStr">
        <is>
          <t>3</t>
        </is>
      </c>
      <c r="C16" s="16" t="inlineStr">
        <is>
          <t>High</t>
        </is>
      </c>
      <c r="D16" s="13" t="inlineStr">
        <is>
          <t>Assets</t>
        </is>
      </c>
      <c r="E16" s="13" t="inlineStr">
        <is>
          <t>Upload headshot assets</t>
        </is>
      </c>
      <c r="F16" s="13" t="inlineStr">
        <is>
          <t>No author images exist anywhere in the project</t>
        </is>
      </c>
      <c r="G16" s="11" t="inlineStr">
        <is>
          <t>~11 files</t>
        </is>
      </c>
      <c r="H16" s="14" t="inlineStr">
        <is>
          <t>MCP</t>
        </is>
      </c>
      <c r="I16" s="13" t="inlineStr">
        <is>
          <t>data_assets_tool</t>
        </is>
      </c>
      <c r="J16" s="13" t="inlineStr">
        <is>
          <t>Content (39)</t>
        </is>
      </c>
      <c r="K16" s="15" t="inlineStr">
        <is>
          <t>Not started</t>
        </is>
      </c>
      <c r="L16" s="15" t="inlineStr"/>
      <c r="M16" s="15" t="inlineStr"/>
      <c r="N16" s="15" t="inlineStr"/>
    </row>
    <row r="17" ht="42" customHeight="1">
      <c r="A17" s="11" t="n">
        <v>16</v>
      </c>
      <c r="B17" s="11" t="inlineStr">
        <is>
          <t>6</t>
        </is>
      </c>
      <c r="C17" s="17" t="inlineStr">
        <is>
          <t>Medium</t>
        </is>
      </c>
      <c r="D17" s="13" t="inlineStr">
        <is>
          <t>Category</t>
        </is>
      </c>
      <c r="E17" s="13" t="inlineStr">
        <is>
          <t>Write descriptions for all 10 categories</t>
        </is>
      </c>
      <c r="F17" s="13" t="inlineStr">
        <is>
          <t>Current descriptions are raw slugs: 'ugc', 'advertising', 'ppc-and-google-ads'</t>
        </is>
      </c>
      <c r="G17" s="11" t="inlineStr">
        <is>
          <t>10 items</t>
        </is>
      </c>
      <c r="H17" s="14" t="inlineStr">
        <is>
          <t>MCP</t>
        </is>
      </c>
      <c r="I17" s="13" t="inlineStr">
        <is>
          <t>update_collection_items</t>
        </is>
      </c>
      <c r="J17" s="13" t="inlineStr">
        <is>
          <t>Fields (12)</t>
        </is>
      </c>
      <c r="K17" s="15" t="inlineStr">
        <is>
          <t>Not started</t>
        </is>
      </c>
      <c r="L17" s="15" t="inlineStr"/>
      <c r="M17" s="15" t="inlineStr"/>
      <c r="N17" s="15" t="inlineStr"/>
    </row>
    <row r="18" ht="42" customHeight="1">
      <c r="A18" s="11" t="n">
        <v>17</v>
      </c>
      <c r="B18" s="11" t="inlineStr">
        <is>
          <t>5</t>
        </is>
      </c>
      <c r="C18" s="16" t="inlineStr">
        <is>
          <t>High</t>
        </is>
      </c>
      <c r="D18" s="13" t="inlineStr">
        <is>
          <t>CMS</t>
        </is>
      </c>
      <c r="E18" s="13" t="inlineStr">
        <is>
          <t>Backfill article-author from the obsolete fields</t>
        </is>
      </c>
      <c r="F18" s="13" t="inlineStr">
        <is>
          <t>54 of 100 sampled blog items have no author reference set</t>
        </is>
      </c>
      <c r="G18" s="11" t="inlineStr">
        <is>
          <t>~402 items</t>
        </is>
      </c>
      <c r="H18" s="14" t="inlineStr">
        <is>
          <t>MCP</t>
        </is>
      </c>
      <c r="I18" s="13" t="inlineStr">
        <is>
          <t>update_collection_items</t>
        </is>
      </c>
      <c r="J18" s="13" t="inlineStr"/>
      <c r="K18" s="15" t="inlineStr">
        <is>
          <t>Not started</t>
        </is>
      </c>
      <c r="L18" s="15" t="inlineStr"/>
      <c r="M18" s="15" t="inlineStr"/>
      <c r="N18" s="15" t="inlineStr"/>
    </row>
    <row r="19" ht="42" customHeight="1">
      <c r="A19" s="11" t="n">
        <v>18</v>
      </c>
      <c r="B19" s="11" t="inlineStr">
        <is>
          <t>5</t>
        </is>
      </c>
      <c r="C19" s="17" t="inlineStr">
        <is>
          <t>Medium</t>
        </is>
      </c>
      <c r="D19" s="13" t="inlineStr">
        <is>
          <t>CMS</t>
        </is>
      </c>
      <c r="E19" s="13" t="inlineStr">
        <is>
          <t>Clear obsolete author-name and author-page fields</t>
        </is>
      </c>
      <c r="F19" s="13" t="inlineStr">
        <is>
          <t>59 and 23 of 100 sampled items still carry the deprecated fields</t>
        </is>
      </c>
      <c r="G19" s="11" t="inlineStr">
        <is>
          <t>~402 items</t>
        </is>
      </c>
      <c r="H19" s="14" t="inlineStr">
        <is>
          <t>MCP</t>
        </is>
      </c>
      <c r="I19" s="13" t="inlineStr">
        <is>
          <t>update_collection_items</t>
        </is>
      </c>
      <c r="J19" s="13" t="inlineStr">
        <is>
          <t>Backfill (17)</t>
        </is>
      </c>
      <c r="K19" s="15" t="inlineStr">
        <is>
          <t>Not started</t>
        </is>
      </c>
      <c r="L19" s="15" t="inlineStr"/>
      <c r="M19" s="15" t="inlineStr"/>
      <c r="N19" s="15" t="inlineStr"/>
    </row>
    <row r="20" ht="42" customHeight="1">
      <c r="A20" s="11" t="n">
        <v>19</v>
      </c>
      <c r="B20" s="11" t="inlineStr">
        <is>
          <t>5</t>
        </is>
      </c>
      <c r="C20" s="16" t="inlineStr">
        <is>
          <t>High</t>
        </is>
      </c>
      <c r="D20" s="13" t="inlineStr">
        <is>
          <t>Meta</t>
        </is>
      </c>
      <c r="E20" s="13" t="inlineStr">
        <is>
          <t>Draft and write title-tag for over-length pages</t>
        </is>
      </c>
      <c r="F20" s="13" t="inlineStr">
        <is>
          <t>257 of 421 titles exceed 60 characters; 129 exceed 80; the longest is 118</t>
        </is>
      </c>
      <c r="G20" s="11" t="inlineStr">
        <is>
          <t>257 pages</t>
        </is>
      </c>
      <c r="H20" s="14" t="inlineStr">
        <is>
          <t>MCP</t>
        </is>
      </c>
      <c r="I20" s="13" t="inlineStr">
        <is>
          <t>update_collection_items</t>
        </is>
      </c>
      <c r="J20" s="13" t="inlineStr">
        <is>
          <t>Review (42)</t>
        </is>
      </c>
      <c r="K20" s="15" t="inlineStr">
        <is>
          <t>Not started</t>
        </is>
      </c>
      <c r="L20" s="15" t="inlineStr"/>
      <c r="M20" s="15" t="inlineStr"/>
      <c r="N20" s="15" t="inlineStr"/>
    </row>
    <row r="21" ht="42" customHeight="1">
      <c r="A21" s="11" t="n">
        <v>20</v>
      </c>
      <c r="B21" s="11" t="inlineStr">
        <is>
          <t>7</t>
        </is>
      </c>
      <c r="C21" s="17" t="inlineStr">
        <is>
          <t>Medium</t>
        </is>
      </c>
      <c r="D21" s="13" t="inlineStr">
        <is>
          <t>Sitemap</t>
        </is>
      </c>
      <c r="E21" s="13" t="inlineStr">
        <is>
          <t>Exclude the 24 redirecting URLs from the sitemap</t>
        </is>
      </c>
      <c r="F21" s="13" t="inlineStr">
        <is>
          <t>Sitemap currently submits URLs that return 301</t>
        </is>
      </c>
      <c r="G21" s="11" t="inlineStr">
        <is>
          <t>24 URLs</t>
        </is>
      </c>
      <c r="H21" s="14" t="inlineStr">
        <is>
          <t>MCP</t>
        </is>
      </c>
      <c r="I21" s="13" t="inlineStr">
        <is>
          <t>bulk_update_items_sitemap_status</t>
        </is>
      </c>
      <c r="J21" s="13" t="inlineStr"/>
      <c r="K21" s="15" t="inlineStr">
        <is>
          <t>Not started</t>
        </is>
      </c>
      <c r="L21" s="15" t="inlineStr"/>
      <c r="M21" s="15" t="inlineStr"/>
      <c r="N21" s="15" t="inlineStr"/>
    </row>
    <row r="22" ht="42" customHeight="1">
      <c r="A22" s="11" t="n">
        <v>21</v>
      </c>
      <c r="B22" s="11" t="inlineStr">
        <is>
          <t>7</t>
        </is>
      </c>
      <c r="C22" s="17" t="inlineStr">
        <is>
          <t>Medium</t>
        </is>
      </c>
      <c r="D22" s="13" t="inlineStr">
        <is>
          <t>Meta</t>
        </is>
      </c>
      <c r="E22" s="13" t="inlineStr">
        <is>
          <t>Set a default og:image on pages without one</t>
        </is>
      </c>
      <c r="F22" s="13" t="inlineStr">
        <is>
          <t>155 pages have no og:image, including all 46 locations and 16 case studies</t>
        </is>
      </c>
      <c r="G22" s="11" t="inlineStr">
        <is>
          <t>155 pages</t>
        </is>
      </c>
      <c r="H22" s="14" t="inlineStr">
        <is>
          <t>MCP</t>
        </is>
      </c>
      <c r="I22" s="13" t="inlineStr">
        <is>
          <t>bulk_update_pages</t>
        </is>
      </c>
      <c r="J22" s="13" t="inlineStr"/>
      <c r="K22" s="15" t="inlineStr">
        <is>
          <t>Not started</t>
        </is>
      </c>
      <c r="L22" s="15" t="inlineStr"/>
      <c r="M22" s="15" t="inlineStr"/>
      <c r="N22" s="15" t="inlineStr"/>
    </row>
    <row r="23" ht="42" customHeight="1">
      <c r="A23" s="11" t="n">
        <v>22</v>
      </c>
      <c r="B23" s="11" t="inlineStr">
        <is>
          <t>7</t>
        </is>
      </c>
      <c r="C23" s="18" t="inlineStr">
        <is>
          <t>Low</t>
        </is>
      </c>
      <c r="D23" s="13" t="inlineStr">
        <is>
          <t>Meta</t>
        </is>
      </c>
      <c r="E23" s="13" t="inlineStr">
        <is>
          <t>Replace the 404 and 401 Webflow template boilerplate</t>
        </is>
      </c>
      <c r="F23" s="13" t="inlineStr">
        <is>
          <t>The 401 title still reads 'Lemon - Webflow HTML website template'</t>
        </is>
      </c>
      <c r="G23" s="11" t="inlineStr">
        <is>
          <t>2 pages</t>
        </is>
      </c>
      <c r="H23" s="14" t="inlineStr">
        <is>
          <t>MCP</t>
        </is>
      </c>
      <c r="I23" s="13" t="inlineStr">
        <is>
          <t>update_page_settings</t>
        </is>
      </c>
      <c r="J23" s="13" t="inlineStr"/>
      <c r="K23" s="15" t="inlineStr">
        <is>
          <t>Not started</t>
        </is>
      </c>
      <c r="L23" s="15" t="inlineStr"/>
      <c r="M23" s="15" t="inlineStr"/>
      <c r="N23" s="15" t="inlineStr"/>
    </row>
    <row r="24" ht="42" customHeight="1">
      <c r="A24" s="11" t="n">
        <v>23</v>
      </c>
      <c r="B24" s="11" t="inlineStr">
        <is>
          <t>7</t>
        </is>
      </c>
      <c r="C24" s="17" t="inlineStr">
        <is>
          <t>Medium</t>
        </is>
      </c>
      <c r="D24" s="13" t="inlineStr">
        <is>
          <t>Meta</t>
        </is>
      </c>
      <c r="E24" s="13" t="inlineStr">
        <is>
          <t>Set og:type to article on blog posts — METHOD TO VERIFY</t>
        </is>
      </c>
      <c r="F24" s="13" t="inlineStr">
        <is>
          <t>Webflow emits its own og:type, so a custom-code override risks a duplicate tag; confirm the clean route first</t>
        </is>
      </c>
      <c r="G24" s="11" t="inlineStr">
        <is>
          <t>264 posts</t>
        </is>
      </c>
      <c r="H24" s="14" t="inlineStr">
        <is>
          <t>MCP</t>
        </is>
      </c>
      <c r="I24" s="13" t="inlineStr">
        <is>
          <t>TBC — needs verification</t>
        </is>
      </c>
      <c r="J24" s="13" t="inlineStr"/>
      <c r="K24" s="15" t="inlineStr">
        <is>
          <t>Not started</t>
        </is>
      </c>
      <c r="L24" s="15" t="inlineStr"/>
      <c r="M24" s="15" t="inlineStr"/>
      <c r="N24" s="15" t="inlineStr"/>
    </row>
    <row r="25" ht="42" customHeight="1">
      <c r="A25" s="11" t="n">
        <v>24</v>
      </c>
      <c r="B25" s="11" t="inlineStr">
        <is>
          <t>all</t>
        </is>
      </c>
      <c r="C25" s="12" t="inlineStr">
        <is>
          <t>Critical</t>
        </is>
      </c>
      <c r="D25" s="13" t="inlineStr">
        <is>
          <t>Publish</t>
        </is>
      </c>
      <c r="E25" s="13" t="inlineStr">
        <is>
          <t>Publish the site</t>
        </is>
      </c>
      <c r="F25" s="13" t="inlineStr">
        <is>
          <t>No change reaches inbeat.agency until the site is published</t>
        </is>
      </c>
      <c r="G25" s="11" t="inlineStr">
        <is>
          <t>Whole site</t>
        </is>
      </c>
      <c r="H25" s="14" t="inlineStr">
        <is>
          <t>MCP</t>
        </is>
      </c>
      <c r="I25" s="13" t="inlineStr">
        <is>
          <t>publish_site</t>
        </is>
      </c>
      <c r="J25" s="13" t="inlineStr">
        <is>
          <t>Publishing window (36)</t>
        </is>
      </c>
      <c r="K25" s="15" t="inlineStr">
        <is>
          <t>Not started</t>
        </is>
      </c>
      <c r="L25" s="15" t="inlineStr"/>
      <c r="M25" s="15" t="inlineStr"/>
      <c r="N25" s="15" t="inlineStr"/>
    </row>
    <row r="26" ht="42" customHeight="1">
      <c r="A26" s="11" t="n">
        <v>25</v>
      </c>
      <c r="B26" s="11" t="inlineStr">
        <is>
          <t>2</t>
        </is>
      </c>
      <c r="C26" s="12" t="inlineStr">
        <is>
          <t>Critical</t>
        </is>
      </c>
      <c r="D26" s="13" t="inlineStr">
        <is>
          <t>Author</t>
        </is>
      </c>
      <c r="E26" s="13" t="inlineStr">
        <is>
          <t>Rebind the byline link to the article-author reference</t>
        </is>
      </c>
      <c r="F26" s="13" t="inlineStr">
        <is>
          <t>181 of 264 bylines point at a 301 or at href='#'; this is the root fix</t>
        </is>
      </c>
      <c r="G26" s="11" t="inlineStr">
        <is>
          <t>264 posts</t>
        </is>
      </c>
      <c r="H26" s="19" t="inlineStr">
        <is>
          <t>Designer</t>
        </is>
      </c>
      <c r="I26" s="13" t="inlineStr">
        <is>
          <t>detail_blog</t>
        </is>
      </c>
      <c r="J26" s="13" t="inlineStr">
        <is>
          <t>Canonical sign-off (38)</t>
        </is>
      </c>
      <c r="K26" s="15" t="inlineStr">
        <is>
          <t>Not started</t>
        </is>
      </c>
      <c r="L26" s="15" t="inlineStr"/>
      <c r="M26" s="15" t="inlineStr"/>
      <c r="N26" s="15" t="inlineStr"/>
    </row>
    <row r="27" ht="42" customHeight="1">
      <c r="A27" s="11" t="n">
        <v>26</v>
      </c>
      <c r="B27" s="11" t="inlineStr">
        <is>
          <t>5</t>
        </is>
      </c>
      <c r="C27" s="16" t="inlineStr">
        <is>
          <t>High</t>
        </is>
      </c>
      <c r="D27" s="13" t="inlineStr">
        <is>
          <t>Meta</t>
        </is>
      </c>
      <c r="E27" s="13" t="inlineStr">
        <is>
          <t>Rebind SEO title to title-tag with name as fallback; delete the double space</t>
        </is>
      </c>
      <c r="F27" s="13" t="inlineStr">
        <is>
          <t>Template binds the full article name, producing titles up to 118 characters</t>
        </is>
      </c>
      <c r="G27" s="11" t="inlineStr">
        <is>
          <t>264 posts</t>
        </is>
      </c>
      <c r="H27" s="19" t="inlineStr">
        <is>
          <t>Designer</t>
        </is>
      </c>
      <c r="I27" s="13" t="inlineStr">
        <is>
          <t>detail_blog</t>
        </is>
      </c>
      <c r="J27" s="13" t="inlineStr">
        <is>
          <t>Title drafts (19)</t>
        </is>
      </c>
      <c r="K27" s="15" t="inlineStr">
        <is>
          <t>Not started</t>
        </is>
      </c>
      <c r="L27" s="15" t="inlineStr"/>
      <c r="M27" s="15" t="inlineStr"/>
      <c r="N27" s="15" t="inlineStr"/>
    </row>
    <row r="28" ht="42" customHeight="1">
      <c r="A28" s="11" t="n">
        <v>27</v>
      </c>
      <c r="B28" s="11" t="inlineStr">
        <is>
          <t>6</t>
        </is>
      </c>
      <c r="C28" s="17" t="inlineStr">
        <is>
          <t>Medium</t>
        </is>
      </c>
      <c r="D28" s="13" t="inlineStr">
        <is>
          <t>Category</t>
        </is>
      </c>
      <c r="E28" s="13" t="inlineStr">
        <is>
          <t>Rebind meta description off slug onto the new Meta Description field</t>
        </is>
      </c>
      <c r="F28" s="13" t="inlineStr">
        <is>
          <t>Category descriptions currently render as raw URL slugs</t>
        </is>
      </c>
      <c r="G28" s="11" t="inlineStr">
        <is>
          <t>10 pages</t>
        </is>
      </c>
      <c r="H28" s="19" t="inlineStr">
        <is>
          <t>Designer</t>
        </is>
      </c>
      <c r="I28" s="13" t="inlineStr">
        <is>
          <t>detail_categories</t>
        </is>
      </c>
      <c r="J28" s="13" t="inlineStr">
        <is>
          <t>Fields (12)</t>
        </is>
      </c>
      <c r="K28" s="15" t="inlineStr">
        <is>
          <t>Not started</t>
        </is>
      </c>
      <c r="L28" s="15" t="inlineStr"/>
      <c r="M28" s="15" t="inlineStr"/>
      <c r="N28" s="15" t="inlineStr"/>
    </row>
    <row r="29" ht="42" customHeight="1">
      <c r="A29" s="11" t="n">
        <v>28</v>
      </c>
      <c r="B29" s="11" t="inlineStr">
        <is>
          <t>4</t>
        </is>
      </c>
      <c r="C29" s="16" t="inlineStr">
        <is>
          <t>High</t>
        </is>
      </c>
      <c r="D29" s="13" t="inlineStr">
        <is>
          <t>Author</t>
        </is>
      </c>
      <c r="E29" s="13" t="inlineStr">
        <is>
          <t>Demote post-card headings from H1 to H2</t>
        </is>
      </c>
      <c r="F29" s="13" t="inlineStr">
        <is>
          <t>Author pages carry 2 to 101 H1 tags; one page has 101</t>
        </is>
      </c>
      <c r="G29" s="11" t="inlineStr">
        <is>
          <t>16 pages</t>
        </is>
      </c>
      <c r="H29" s="19" t="inlineStr">
        <is>
          <t>Designer</t>
        </is>
      </c>
      <c r="I29" s="13" t="inlineStr">
        <is>
          <t>detail_author</t>
        </is>
      </c>
      <c r="J29" s="13" t="inlineStr"/>
      <c r="K29" s="15" t="inlineStr">
        <is>
          <t>Not started</t>
        </is>
      </c>
      <c r="L29" s="15" t="inlineStr"/>
      <c r="M29" s="15" t="inlineStr"/>
      <c r="N29" s="15" t="inlineStr"/>
    </row>
    <row r="30" ht="42" customHeight="1">
      <c r="A30" s="11" t="n">
        <v>29</v>
      </c>
      <c r="B30" s="11" t="inlineStr">
        <is>
          <t>4</t>
        </is>
      </c>
      <c r="C30" s="16" t="inlineStr">
        <is>
          <t>High</t>
        </is>
      </c>
      <c r="D30" s="13" t="inlineStr">
        <is>
          <t>Author</t>
        </is>
      </c>
      <c r="E30" s="13" t="inlineStr">
        <is>
          <t>Add visible bio, headshot and role blocks to the author layout</t>
        </is>
      </c>
      <c r="F30" s="13" t="inlineStr">
        <is>
          <t>Person schema describing content the page never renders is a markup/content mismatch</t>
        </is>
      </c>
      <c r="G30" s="11" t="inlineStr">
        <is>
          <t>16 pages</t>
        </is>
      </c>
      <c r="H30" s="19" t="inlineStr">
        <is>
          <t>Designer</t>
        </is>
      </c>
      <c r="I30" s="13" t="inlineStr">
        <is>
          <t>detail_author</t>
        </is>
      </c>
      <c r="J30" s="13" t="inlineStr">
        <is>
          <t>Fields (11)</t>
        </is>
      </c>
      <c r="K30" s="15" t="inlineStr">
        <is>
          <t>Not started</t>
        </is>
      </c>
      <c r="L30" s="15" t="inlineStr"/>
      <c r="M30" s="15" t="inlineStr"/>
      <c r="N30" s="15" t="inlineStr"/>
    </row>
    <row r="31" ht="42" customHeight="1">
      <c r="A31" s="11" t="n">
        <v>30</v>
      </c>
      <c r="B31" s="11" t="inlineStr">
        <is>
          <t>2</t>
        </is>
      </c>
      <c r="C31" s="16" t="inlineStr">
        <is>
          <t>High</t>
        </is>
      </c>
      <c r="D31" s="13" t="inlineStr">
        <is>
          <t>Author</t>
        </is>
      </c>
      <c r="E31" s="13" t="inlineStr">
        <is>
          <t>Delete or unpublish the 8 static /blog-author/author-blog/ pages</t>
        </is>
      </c>
      <c r="F31" s="13" t="inlineStr">
        <is>
          <t>Duplicate author pages that the sitemap submits and nothing links to</t>
        </is>
      </c>
      <c r="G31" s="11" t="inlineStr">
        <is>
          <t>8 pages</t>
        </is>
      </c>
      <c r="H31" s="19" t="inlineStr">
        <is>
          <t>Designer</t>
        </is>
      </c>
      <c r="I31" s="13" t="inlineStr">
        <is>
          <t>Pages panel</t>
        </is>
      </c>
      <c r="J31" s="13" t="inlineStr">
        <is>
          <t>Redirects (32)</t>
        </is>
      </c>
      <c r="K31" s="15" t="inlineStr">
        <is>
          <t>Not started</t>
        </is>
      </c>
      <c r="L31" s="15" t="inlineStr"/>
      <c r="M31" s="15" t="inlineStr"/>
      <c r="N31" s="15" t="inlineStr"/>
    </row>
    <row r="32" ht="42" customHeight="1">
      <c r="A32" s="11" t="n">
        <v>31</v>
      </c>
      <c r="B32" s="11" t="inlineStr">
        <is>
          <t>6</t>
        </is>
      </c>
      <c r="C32" s="18" t="inlineStr">
        <is>
          <t>Low</t>
        </is>
      </c>
      <c r="D32" s="13" t="inlineStr">
        <is>
          <t>Category</t>
        </is>
      </c>
      <c r="E32" s="13" t="inlineStr">
        <is>
          <t>Optional: move categories to /blog/category/</t>
        </is>
      </c>
      <c r="F32" s="13" t="inlineStr">
        <is>
          <t>Categories currently sit nested under the author folder, which is structurally wrong</t>
        </is>
      </c>
      <c r="G32" s="11" t="inlineStr">
        <is>
          <t>10 pages</t>
        </is>
      </c>
      <c r="H32" s="19" t="inlineStr">
        <is>
          <t>Designer</t>
        </is>
      </c>
      <c r="I32" s="13" t="inlineStr">
        <is>
          <t>Collection settings</t>
        </is>
      </c>
      <c r="J32" s="13" t="inlineStr">
        <is>
          <t>Decision (43)</t>
        </is>
      </c>
      <c r="K32" s="15" t="inlineStr">
        <is>
          <t>Not started</t>
        </is>
      </c>
      <c r="L32" s="15" t="inlineStr"/>
      <c r="M32" s="15" t="inlineStr"/>
      <c r="N32" s="15" t="inlineStr"/>
    </row>
    <row r="33" ht="42" customHeight="1">
      <c r="A33" s="11" t="n">
        <v>32</v>
      </c>
      <c r="B33" s="11" t="inlineStr">
        <is>
          <t>2</t>
        </is>
      </c>
      <c r="C33" s="12" t="inlineStr">
        <is>
          <t>Critical</t>
        </is>
      </c>
      <c r="D33" s="13" t="inlineStr">
        <is>
          <t>Redirects</t>
        </is>
      </c>
      <c r="E33" s="13" t="inlineStr">
        <is>
          <t>301 the 8 /blog-author/author-blog/* URLs onto their CMS equivalents</t>
        </is>
      </c>
      <c r="F33" s="13" t="inlineStr">
        <is>
          <t>Consolidates two competing author page systems onto one</t>
        </is>
      </c>
      <c r="G33" s="11" t="inlineStr">
        <is>
          <t>8 URLs</t>
        </is>
      </c>
      <c r="H33" s="20" t="inlineStr">
        <is>
          <t>Settings</t>
        </is>
      </c>
      <c r="I33" s="13" t="inlineStr">
        <is>
          <t>Publishing &gt; Redirects</t>
        </is>
      </c>
      <c r="J33" s="13" t="inlineStr">
        <is>
          <t>Canonical sign-off (38)</t>
        </is>
      </c>
      <c r="K33" s="15" t="inlineStr">
        <is>
          <t>Not started</t>
        </is>
      </c>
      <c r="L33" s="15" t="inlineStr"/>
      <c r="M33" s="15" t="inlineStr"/>
      <c r="N33" s="15" t="inlineStr"/>
    </row>
    <row r="34" ht="42" customHeight="1">
      <c r="A34" s="11" t="n">
        <v>33</v>
      </c>
      <c r="B34" s="11" t="inlineStr">
        <is>
          <t>2</t>
        </is>
      </c>
      <c r="C34" s="16" t="inlineStr">
        <is>
          <t>High</t>
        </is>
      </c>
      <c r="D34" s="13" t="inlineStr">
        <is>
          <t>Redirects</t>
        </is>
      </c>
      <c r="E34" s="13" t="inlineStr">
        <is>
          <t>Collapse /blog/author/* onto /author/*, including two-hop chains</t>
        </is>
      </c>
      <c r="F34" s="13" t="inlineStr">
        <is>
          <t>147 byline links currently pass through at least one redirect</t>
        </is>
      </c>
      <c r="G34" s="11" t="inlineStr">
        <is>
          <t>~10 rules</t>
        </is>
      </c>
      <c r="H34" s="20" t="inlineStr">
        <is>
          <t>Settings</t>
        </is>
      </c>
      <c r="I34" s="13" t="inlineStr">
        <is>
          <t>Publishing &gt; Redirects</t>
        </is>
      </c>
      <c r="J34" s="13" t="inlineStr">
        <is>
          <t>Canonical sign-off (38)</t>
        </is>
      </c>
      <c r="K34" s="15" t="inlineStr">
        <is>
          <t>Not started</t>
        </is>
      </c>
      <c r="L34" s="15" t="inlineStr"/>
      <c r="M34" s="15" t="inlineStr"/>
      <c r="N34" s="15" t="inlineStr"/>
    </row>
    <row r="35" ht="42" customHeight="1">
      <c r="A35" s="11" t="n">
        <v>34</v>
      </c>
      <c r="B35" s="11" t="inlineStr">
        <is>
          <t>7</t>
        </is>
      </c>
      <c r="C35" s="18" t="inlineStr">
        <is>
          <t>Low</t>
        </is>
      </c>
      <c r="D35" s="13" t="inlineStr">
        <is>
          <t>Sitemap</t>
        </is>
      </c>
      <c r="E35" s="13" t="inlineStr">
        <is>
          <t>Remove the duplicate Sitemap: line from robots.txt</t>
        </is>
      </c>
      <c r="F35" s="13" t="inlineStr">
        <is>
          <t>robots.txt declares the same sitemap twice</t>
        </is>
      </c>
      <c r="G35" s="11" t="inlineStr">
        <is>
          <t>1 file</t>
        </is>
      </c>
      <c r="H35" s="20" t="inlineStr">
        <is>
          <t>Settings</t>
        </is>
      </c>
      <c r="I35" s="13" t="inlineStr">
        <is>
          <t>SEO &gt; robots.txt</t>
        </is>
      </c>
      <c r="J35" s="13" t="inlineStr"/>
      <c r="K35" s="15" t="inlineStr">
        <is>
          <t>Not started</t>
        </is>
      </c>
      <c r="L35" s="15" t="inlineStr"/>
      <c r="M35" s="15" t="inlineStr"/>
      <c r="N35" s="15" t="inlineStr"/>
    </row>
    <row r="36" ht="42" customHeight="1">
      <c r="A36" s="11" t="n">
        <v>35</v>
      </c>
      <c r="B36" s="11" t="inlineStr">
        <is>
          <t>6</t>
        </is>
      </c>
      <c r="C36" s="18" t="inlineStr">
        <is>
          <t>Low</t>
        </is>
      </c>
      <c r="D36" s="13" t="inlineStr">
        <is>
          <t>Redirects</t>
        </is>
      </c>
      <c r="E36" s="13" t="inlineStr">
        <is>
          <t>Redirects for the category URL move</t>
        </is>
      </c>
      <c r="F36" s="13" t="inlineStr">
        <is>
          <t>Only needed if the optional category move goes ahead</t>
        </is>
      </c>
      <c r="G36" s="11" t="inlineStr">
        <is>
          <t>10 rules</t>
        </is>
      </c>
      <c r="H36" s="20" t="inlineStr">
        <is>
          <t>Settings</t>
        </is>
      </c>
      <c r="I36" s="13" t="inlineStr">
        <is>
          <t>Publishing &gt; Redirects</t>
        </is>
      </c>
      <c r="J36" s="13" t="inlineStr">
        <is>
          <t>Decision (43)</t>
        </is>
      </c>
      <c r="K36" s="15" t="inlineStr">
        <is>
          <t>Not started</t>
        </is>
      </c>
      <c r="L36" s="15" t="inlineStr"/>
      <c r="M36" s="15" t="inlineStr"/>
      <c r="N36" s="15" t="inlineStr"/>
    </row>
    <row r="37" ht="42" customHeight="1">
      <c r="A37" s="11" t="n">
        <v>36</v>
      </c>
      <c r="B37" s="11" t="inlineStr">
        <is>
          <t>all</t>
        </is>
      </c>
      <c r="C37" s="12" t="inlineStr">
        <is>
          <t>Critical</t>
        </is>
      </c>
      <c r="D37" s="13" t="inlineStr">
        <is>
          <t>Decision</t>
        </is>
      </c>
      <c r="E37" s="13" t="inlineStr">
        <is>
          <t>Publishing window, or a branch-and-merge decision</t>
        </is>
      </c>
      <c r="F37" s="13" t="inlineStr">
        <is>
          <t>Publishing pushes the whole site; unpublished non-draft changes were staged during the audit</t>
        </is>
      </c>
      <c r="G37" s="11" t="inlineStr">
        <is>
          <t>Blocks all</t>
        </is>
      </c>
      <c r="H37" s="21" t="inlineStr">
        <is>
          <t>inBeat</t>
        </is>
      </c>
      <c r="I37" s="13" t="inlineStr">
        <is>
          <t>David</t>
        </is>
      </c>
      <c r="J37" s="13" t="inlineStr"/>
      <c r="K37" s="15" t="inlineStr">
        <is>
          <t>Not started</t>
        </is>
      </c>
      <c r="L37" s="15" t="inlineStr"/>
      <c r="M37" s="15" t="inlineStr"/>
      <c r="N37" s="15" t="inlineStr"/>
    </row>
    <row r="38" ht="42" customHeight="1">
      <c r="A38" s="11" t="n">
        <v>37</v>
      </c>
      <c r="B38" s="11" t="inlineStr">
        <is>
          <t>2</t>
        </is>
      </c>
      <c r="C38" s="12" t="inlineStr">
        <is>
          <t>Critical</t>
        </is>
      </c>
      <c r="D38" s="13" t="inlineStr">
        <is>
          <t>Decision</t>
        </is>
      </c>
      <c r="E38" s="13" t="inlineStr">
        <is>
          <t>Designer access, or a named person for changes 25-31</t>
        </is>
      </c>
      <c r="F38" s="13" t="inlineStr">
        <is>
          <t>Seven changes are Designer-only and cannot be done through MCP</t>
        </is>
      </c>
      <c r="G38" s="11" t="inlineStr">
        <is>
          <t>Blocks 4,5,6</t>
        </is>
      </c>
      <c r="H38" s="21" t="inlineStr">
        <is>
          <t>inBeat</t>
        </is>
      </c>
      <c r="I38" s="13" t="inlineStr">
        <is>
          <t>David</t>
        </is>
      </c>
      <c r="J38" s="13" t="inlineStr"/>
      <c r="K38" s="15" t="inlineStr">
        <is>
          <t>Not started</t>
        </is>
      </c>
      <c r="L38" s="15" t="inlineStr"/>
      <c r="M38" s="15" t="inlineStr"/>
      <c r="N38" s="15" t="inlineStr"/>
    </row>
    <row r="39" ht="42" customHeight="1">
      <c r="A39" s="11" t="n">
        <v>38</v>
      </c>
      <c r="B39" s="11" t="inlineStr">
        <is>
          <t>2</t>
        </is>
      </c>
      <c r="C39" s="12" t="inlineStr">
        <is>
          <t>Critical</t>
        </is>
      </c>
      <c r="D39" s="13" t="inlineStr">
        <is>
          <t>Decision</t>
        </is>
      </c>
      <c r="E39" s="13" t="inlineStr">
        <is>
          <t>Sign-off that /author/{slug} is the canonical pattern</t>
        </is>
      </c>
      <c r="F39" s="13" t="inlineStr">
        <is>
          <t>Changes 181 internal links and needs a redirect set; not free to reverse</t>
        </is>
      </c>
      <c r="G39" s="11" t="inlineStr">
        <is>
          <t>Blocks phase 2</t>
        </is>
      </c>
      <c r="H39" s="21" t="inlineStr">
        <is>
          <t>inBeat</t>
        </is>
      </c>
      <c r="I39" s="13" t="inlineStr">
        <is>
          <t>David</t>
        </is>
      </c>
      <c r="J39" s="13" t="inlineStr"/>
      <c r="K39" s="15" t="inlineStr">
        <is>
          <t>Not started</t>
        </is>
      </c>
      <c r="L39" s="15" t="inlineStr"/>
      <c r="M39" s="15" t="inlineStr"/>
      <c r="N39" s="15" t="inlineStr"/>
    </row>
    <row r="40" ht="42" customHeight="1">
      <c r="A40" s="11" t="n">
        <v>39</v>
      </c>
      <c r="B40" s="11" t="inlineStr">
        <is>
          <t>3</t>
        </is>
      </c>
      <c r="C40" s="16" t="inlineStr">
        <is>
          <t>High</t>
        </is>
      </c>
      <c r="D40" s="13" t="inlineStr">
        <is>
          <t>Content</t>
        </is>
      </c>
      <c r="E40" s="13" t="inlineStr">
        <is>
          <t>Role, bio, LinkedIn and headshot for each real author</t>
        </is>
      </c>
      <c r="F40" s="13" t="inlineStr">
        <is>
          <t>Person schema with no supporting content is a claim of expertise with no evidence</t>
        </is>
      </c>
      <c r="G40" s="11" t="inlineStr">
        <is>
          <t>~11 authors</t>
        </is>
      </c>
      <c r="H40" s="21" t="inlineStr">
        <is>
          <t>inBeat</t>
        </is>
      </c>
      <c r="I40" s="13" t="inlineStr">
        <is>
          <t>Content team</t>
        </is>
      </c>
      <c r="J40" s="13" t="inlineStr"/>
      <c r="K40" s="15" t="inlineStr">
        <is>
          <t>Not started</t>
        </is>
      </c>
      <c r="L40" s="15" t="inlineStr"/>
      <c r="M40" s="15" t="inlineStr"/>
      <c r="N40" s="15" t="inlineStr"/>
    </row>
    <row r="41" ht="42" customHeight="1">
      <c r="A41" s="11" t="n">
        <v>40</v>
      </c>
      <c r="B41" s="11" t="inlineStr">
        <is>
          <t>3</t>
        </is>
      </c>
      <c r="C41" s="16" t="inlineStr">
        <is>
          <t>High</t>
        </is>
      </c>
      <c r="D41" s="13" t="inlineStr">
        <is>
          <t>Decision</t>
        </is>
      </c>
      <c r="E41" s="13" t="inlineStr">
        <is>
          <t>Ruling on jhon, sarah, luz, precious, peter</t>
        </is>
      </c>
      <c r="F41" s="13" t="inlineStr">
        <is>
          <t>Placeholder author records with no bios, 4 posts between them; 'jhon' looks like a typo</t>
        </is>
      </c>
      <c r="G41" s="11" t="inlineStr">
        <is>
          <t>5 records</t>
        </is>
      </c>
      <c r="H41" s="21" t="inlineStr">
        <is>
          <t>inBeat</t>
        </is>
      </c>
      <c r="I41" s="13" t="inlineStr">
        <is>
          <t>David</t>
        </is>
      </c>
      <c r="J41" s="13" t="inlineStr"/>
      <c r="K41" s="15" t="inlineStr">
        <is>
          <t>Not started</t>
        </is>
      </c>
      <c r="L41" s="15" t="inlineStr"/>
      <c r="M41" s="15" t="inlineStr"/>
      <c r="N41" s="15" t="inlineStr"/>
    </row>
    <row r="42" ht="42" customHeight="1">
      <c r="A42" s="11" t="n">
        <v>41</v>
      </c>
      <c r="B42" s="11" t="inlineStr">
        <is>
          <t>5</t>
        </is>
      </c>
      <c r="C42" s="17" t="inlineStr">
        <is>
          <t>Medium</t>
        </is>
      </c>
      <c r="D42" s="13" t="inlineStr">
        <is>
          <t>Decision</t>
        </is>
      </c>
      <c r="E42" s="13" t="inlineStr">
        <is>
          <t>Whether dateModified comes from system Last Updated or a new field</t>
        </is>
      </c>
      <c r="F42" s="13" t="inlineStr">
        <is>
          <t>Automatic timestamps change on every trivial edit, which dilutes the freshness signal</t>
        </is>
      </c>
      <c r="G42" s="11" t="inlineStr">
        <is>
          <t>Blocks 13</t>
        </is>
      </c>
      <c r="H42" s="21" t="inlineStr">
        <is>
          <t>inBeat</t>
        </is>
      </c>
      <c r="I42" s="13" t="inlineStr">
        <is>
          <t>David</t>
        </is>
      </c>
      <c r="J42" s="13" t="inlineStr"/>
      <c r="K42" s="15" t="inlineStr">
        <is>
          <t>Not started</t>
        </is>
      </c>
      <c r="L42" s="15" t="inlineStr"/>
      <c r="M42" s="15" t="inlineStr"/>
      <c r="N42" s="15" t="inlineStr"/>
    </row>
    <row r="43" ht="42" customHeight="1">
      <c r="A43" s="11" t="n">
        <v>42</v>
      </c>
      <c r="B43" s="11" t="inlineStr">
        <is>
          <t>5</t>
        </is>
      </c>
      <c r="C43" s="17" t="inlineStr">
        <is>
          <t>Medium</t>
        </is>
      </c>
      <c r="D43" s="13" t="inlineStr">
        <is>
          <t>Review</t>
        </is>
      </c>
      <c r="E43" s="13" t="inlineStr">
        <is>
          <t>Review of the 257 drafted title tags</t>
        </is>
      </c>
      <c r="F43" s="13" t="inlineStr">
        <is>
          <t>Titles will be drafted for approval rather than pushed blind</t>
        </is>
      </c>
      <c r="G43" s="11" t="inlineStr">
        <is>
          <t>257 pages</t>
        </is>
      </c>
      <c r="H43" s="21" t="inlineStr">
        <is>
          <t>inBeat</t>
        </is>
      </c>
      <c r="I43" s="13" t="inlineStr">
        <is>
          <t>SEO team</t>
        </is>
      </c>
      <c r="J43" s="13" t="inlineStr">
        <is>
          <t>Drafts (19)</t>
        </is>
      </c>
      <c r="K43" s="15" t="inlineStr">
        <is>
          <t>Not started</t>
        </is>
      </c>
      <c r="L43" s="15" t="inlineStr"/>
      <c r="M43" s="15" t="inlineStr"/>
      <c r="N43" s="15" t="inlineStr"/>
    </row>
    <row r="44" ht="42" customHeight="1">
      <c r="A44" s="11" t="n">
        <v>43</v>
      </c>
      <c r="B44" s="11" t="inlineStr">
        <is>
          <t>6</t>
        </is>
      </c>
      <c r="C44" s="18" t="inlineStr">
        <is>
          <t>Low</t>
        </is>
      </c>
      <c r="D44" s="13" t="inlineStr">
        <is>
          <t>Decision</t>
        </is>
      </c>
      <c r="E44" s="13" t="inlineStr">
        <is>
          <t>Whether category URLs move now or later</t>
        </is>
      </c>
      <c r="F44" s="13" t="inlineStr">
        <is>
          <t>Cleaner structure, but costs another redirect set</t>
        </is>
      </c>
      <c r="G44" s="11" t="inlineStr">
        <is>
          <t>Blocks 31,35</t>
        </is>
      </c>
      <c r="H44" s="21" t="inlineStr">
        <is>
          <t>inBeat</t>
        </is>
      </c>
      <c r="I44" s="13" t="inlineStr">
        <is>
          <t>David</t>
        </is>
      </c>
      <c r="J44" s="13" t="inlineStr"/>
      <c r="K44" s="15" t="inlineStr">
        <is>
          <t>Not started</t>
        </is>
      </c>
      <c r="L44" s="15" t="inlineStr"/>
      <c r="M44" s="15" t="inlineStr"/>
      <c r="N44" s="15" t="inlineStr"/>
    </row>
    <row r="46" ht="30" customHeight="1">
      <c r="A46" s="22" t="inlineStr">
        <is>
          <t>Shaded columns (Status, Assignee, Target date, Notes) are the only ones to edit. Everything to their left is audit output. Row 1 above shows the expected format: Status from the dropdown, Assignee as a name, Target date as YYYY-MM-DD.</t>
        </is>
      </c>
    </row>
  </sheetData>
  <autoFilter ref="A1:N44"/>
  <mergeCells count="1">
    <mergeCell ref="A46:J46"/>
  </mergeCells>
  <dataValidations count="1">
    <dataValidation sqref="K2:K44" showDropDown="0" showInputMessage="0" showErrorMessage="0" allowBlank="1" errorTitle="Invalid status" error="Pick a value from the list." type="list">
      <formula1>"Not started,In progress,Blocked,Done,Won't 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4" customWidth="1" min="3" max="3"/>
    <col width="68" customWidth="1" min="4" max="4"/>
    <col width="52" customWidth="1" min="5" max="5"/>
    <col width="12" customWidth="1" min="6" max="6"/>
    <col width="7" customWidth="1" min="7" max="7"/>
  </cols>
  <sheetData>
    <row r="1" ht="30" customHeight="1">
      <c r="A1" s="10" t="inlineStr">
        <is>
          <t>Ref</t>
        </is>
      </c>
      <c r="B1" s="10" t="inlineStr">
        <is>
          <t>Severity</t>
        </is>
      </c>
      <c r="C1" s="10" t="inlineStr">
        <is>
          <t>Finding</t>
        </is>
      </c>
      <c r="D1" s="10" t="inlineStr">
        <is>
          <t>Detail</t>
        </is>
      </c>
      <c r="E1" s="10" t="inlineStr">
        <is>
          <t>How it was verified</t>
        </is>
      </c>
      <c r="F1" s="10" t="inlineStr">
        <is>
          <t>Scale</t>
        </is>
      </c>
      <c r="G1" s="10" t="inlineStr">
        <is>
          <t>Phase</t>
        </is>
      </c>
    </row>
    <row r="2" ht="56" customHeight="1">
      <c r="A2" s="23" t="inlineStr">
        <is>
          <t>F1</t>
        </is>
      </c>
      <c r="B2" s="24" t="inlineStr">
        <is>
          <t>Critical</t>
        </is>
      </c>
      <c r="C2" s="25" t="inlineStr">
        <is>
          <t>Article schema throws on every blog post</t>
        </is>
      </c>
      <c r="D2" s="23" t="inlineStr">
        <is>
          <t>detail_blog reads #dateUpdated; the template renders id=updatedOn. querySelector returns null, .innerHTML throws, the script aborts.</t>
        </is>
      </c>
      <c r="E2" s="23" t="inlineStr">
        <is>
          <t>id="dateUpdated" in 0 of 264 crawled posts; headless render throws "Cannot read properties of null"</t>
        </is>
      </c>
      <c r="F2" s="23" t="inlineStr">
        <is>
          <t>264 posts</t>
        </is>
      </c>
      <c r="G2" s="23" t="inlineStr">
        <is>
          <t>1</t>
        </is>
      </c>
    </row>
    <row r="3" ht="56" customHeight="1">
      <c r="A3" s="13" t="inlineStr">
        <is>
          <t>F2</t>
        </is>
      </c>
      <c r="B3" s="26" t="inlineStr">
        <is>
          <t>Critical</t>
        </is>
      </c>
      <c r="C3" s="27" t="inlineStr">
        <is>
          <t>Fallback credits the Organization and drops both dates</t>
        </is>
      </c>
      <c r="D3" s="13" t="inlineStr">
        <is>
          <t>A site-wide script injects BlogPosting only when no Article exists, which is always. It sets author to Organization and omits datePublished and dateModified.</t>
        </is>
      </c>
      <c r="E3" s="13" t="inlineStr">
        <is>
          <t>Fallback source read directly from site custom code; type guard confirmed</t>
        </is>
      </c>
      <c r="F3" s="13" t="inlineStr">
        <is>
          <t>264 posts</t>
        </is>
      </c>
      <c r="G3" s="13" t="inlineStr">
        <is>
          <t>1</t>
        </is>
      </c>
    </row>
    <row r="4" ht="56" customHeight="1">
      <c r="A4" s="23" t="inlineStr">
        <is>
          <t>F3</t>
        </is>
      </c>
      <c r="B4" s="24" t="inlineStr">
        <is>
          <t>Critical</t>
        </is>
      </c>
      <c r="C4" s="25" t="inlineStr">
        <is>
          <t>Author bylines point at three different URL patterns</t>
        </is>
      </c>
      <c r="D4" s="23" t="inlineStr">
        <is>
          <t>83 posts use /author/{slug}; 147 use /blog/author/{slug} which 301s, some over two hops; 34 link to href='#'.</t>
        </is>
      </c>
      <c r="E4" s="23" t="inlineStr">
        <is>
          <t>Counted across 264 crawled post pages; redirect chains followed with curl</t>
        </is>
      </c>
      <c r="F4" s="23" t="inlineStr">
        <is>
          <t>264 posts</t>
        </is>
      </c>
      <c r="G4" s="23" t="inlineStr">
        <is>
          <t>2</t>
        </is>
      </c>
    </row>
    <row r="5" ht="56" customHeight="1">
      <c r="A5" s="13" t="inlineStr">
        <is>
          <t>F4</t>
        </is>
      </c>
      <c r="B5" s="26" t="inlineStr">
        <is>
          <t>Critical</t>
        </is>
      </c>
      <c r="C5" s="27" t="inlineStr">
        <is>
          <t>Two competing author page systems</t>
        </is>
      </c>
      <c r="D5" s="13" t="inlineStr">
        <is>
          <t>/author/{slug} (CMS, 16 authors) and /blog-author/author-blog/{slug} (8 static pages) both return 200 and self-canonicalise. The sitemap lists only the static set, which nothing links to.</t>
        </is>
      </c>
      <c r="E5" s="13" t="inlineStr">
        <is>
          <t>Both sets crawled; sitemap parsed; internal links counted</t>
        </is>
      </c>
      <c r="F5" s="13" t="inlineStr">
        <is>
          <t>24 pages</t>
        </is>
      </c>
      <c r="G5" s="13" t="inlineStr">
        <is>
          <t>2</t>
        </is>
      </c>
    </row>
    <row r="6" ht="56" customHeight="1">
      <c r="A6" s="23" t="inlineStr">
        <is>
          <t>F5</t>
        </is>
      </c>
      <c r="B6" s="28" t="inlineStr">
        <is>
          <t>High</t>
        </is>
      </c>
      <c r="C6" s="25" t="inlineStr">
        <is>
          <t>No Person or ProfilePage schema anywhere</t>
        </is>
      </c>
      <c r="D6" s="23" t="inlineStr">
        <is>
          <t>Author pages carry only the site-wide Organization graph. No sameAs, no photo, no job title on any URL.</t>
        </is>
      </c>
      <c r="E6" s="23" t="inlineStr">
        <is>
          <t>JSON-LD parsed on all 421 live pages</t>
        </is>
      </c>
      <c r="F6" s="23" t="inlineStr">
        <is>
          <t>Whole site</t>
        </is>
      </c>
      <c r="G6" s="23" t="inlineStr">
        <is>
          <t>4</t>
        </is>
      </c>
    </row>
    <row r="7" ht="56" customHeight="1">
      <c r="A7" s="13" t="inlineStr">
        <is>
          <t>F6</t>
        </is>
      </c>
      <c r="B7" s="29" t="inlineStr">
        <is>
          <t>High</t>
        </is>
      </c>
      <c r="C7" s="27" t="inlineStr">
        <is>
          <t>Nine of sixteen authors have no bio; five look like placeholders</t>
        </is>
      </c>
      <c r="D7" s="13" t="inlineStr">
        <is>
          <t>The author template binds meta description to the bio field, so an empty bio means no meta description. jhon, sarah, luz, precious and peter have no bios.</t>
        </is>
      </c>
      <c r="E7" s="13" t="inlineStr">
        <is>
          <t>Authors collection read in full (16 of 16 items)</t>
        </is>
      </c>
      <c r="F7" s="13" t="inlineStr">
        <is>
          <t>16 authors</t>
        </is>
      </c>
      <c r="G7" s="13" t="inlineStr">
        <is>
          <t>3</t>
        </is>
      </c>
    </row>
    <row r="8" ht="56" customHeight="1">
      <c r="A8" s="23" t="inlineStr">
        <is>
          <t>F7</t>
        </is>
      </c>
      <c r="B8" s="28" t="inlineStr">
        <is>
          <t>High</t>
        </is>
      </c>
      <c r="C8" s="25" t="inlineStr">
        <is>
          <t>All structured data is JavaScript-injected</t>
        </is>
      </c>
      <c r="D8" s="23" t="inlineStr">
        <is>
          <t>Static HTML contains only the Organization graph. Google renders JS; GPTBot, ClaudeBot, PerplexityBot and CCBot largely do not, and robots.txt invites all of them.</t>
        </is>
      </c>
      <c r="E8" s="23" t="inlineStr">
        <is>
          <t>Static HTML parsed on 421 pages; confirmed against headless render</t>
        </is>
      </c>
      <c r="F8" s="23" t="inlineStr">
        <is>
          <t>Whole site</t>
        </is>
      </c>
      <c r="G8" s="23" t="inlineStr">
        <is>
          <t>7</t>
        </is>
      </c>
    </row>
    <row r="9" ht="56" customHeight="1">
      <c r="A9" s="13" t="inlineStr">
        <is>
          <t>F8</t>
        </is>
      </c>
      <c r="B9" s="29" t="inlineStr">
        <is>
          <t>High</t>
        </is>
      </c>
      <c r="C9" s="27" t="inlineStr">
        <is>
          <t>The title-tag CMS field is ignored by the template</t>
        </is>
      </c>
      <c r="D9" s="13" t="inlineStr">
        <is>
          <t>The template binds the full article name plus a stray double space. Only 2 of 100 sampled items have title-tag filled.</t>
        </is>
      </c>
      <c r="E9" s="13" t="inlineStr">
        <is>
          <t>Template SEO binding read via get_page_metadata; 421 titles measured</t>
        </is>
      </c>
      <c r="F9" s="13" t="inlineStr">
        <is>
          <t>257 pages</t>
        </is>
      </c>
      <c r="G9" s="13" t="inlineStr">
        <is>
          <t>5</t>
        </is>
      </c>
    </row>
    <row r="10" ht="56" customHeight="1">
      <c r="A10" s="23" t="inlineStr">
        <is>
          <t>F9</t>
        </is>
      </c>
      <c r="B10" s="30" t="inlineStr">
        <is>
          <t>Medium</t>
        </is>
      </c>
      <c r="C10" s="25" t="inlineStr">
        <is>
          <t>Category pages use the URL slug as their meta description</t>
        </is>
      </c>
      <c r="D10" s="23" t="inlineStr">
        <is>
          <t>detail_categories binds description to the slug field, producing descriptions reading 'ugc' and 'advertising'. Titles carry no brand suffix.</t>
        </is>
      </c>
      <c r="E10" s="23" t="inlineStr">
        <is>
          <t>Template binding read via list_pages; 10 category pages crawled</t>
        </is>
      </c>
      <c r="F10" s="23" t="inlineStr">
        <is>
          <t>10 pages</t>
        </is>
      </c>
      <c r="G10" s="23" t="inlineStr">
        <is>
          <t>6</t>
        </is>
      </c>
    </row>
    <row r="11" ht="56" customHeight="1">
      <c r="A11" s="13" t="inlineStr">
        <is>
          <t>F10</t>
        </is>
      </c>
      <c r="B11" s="31" t="inlineStr">
        <is>
          <t>Medium</t>
        </is>
      </c>
      <c r="C11" s="27" t="inlineStr">
        <is>
          <t>24 sitemap URLs return 301</t>
        </is>
      </c>
      <c r="D11" s="13" t="inlineStr">
        <is>
          <t>Includes /blog/ab-testing-ugc-ads to /ugc-agency and /blog/top-digital-marketing-agencies-las-vegas to the homepage.</t>
        </is>
      </c>
      <c r="E11" s="13" t="inlineStr">
        <is>
          <t>All 445 sitemap URLs probed for status and redirect target</t>
        </is>
      </c>
      <c r="F11" s="13" t="inlineStr">
        <is>
          <t>24 URLs</t>
        </is>
      </c>
      <c r="G11" s="13" t="inlineStr">
        <is>
          <t>7</t>
        </is>
      </c>
    </row>
    <row r="12" ht="56" customHeight="1">
      <c r="A12" s="23" t="inlineStr">
        <is>
          <t>F11</t>
        </is>
      </c>
      <c r="B12" s="30" t="inlineStr">
        <is>
          <t>Medium</t>
        </is>
      </c>
      <c r="C12" s="25" t="inlineStr">
        <is>
          <t>og:type is website sitewide and 155 pages lack og:image</t>
        </is>
      </c>
      <c r="D12" s="23" t="inlineStr">
        <is>
          <t>All 405 pages that set og:type use 'website', blog posts included. Missing og:image covers all 46 locations, 15 territories, 16 case studies, 18 author pages.</t>
        </is>
      </c>
      <c r="E12" s="23" t="inlineStr">
        <is>
          <t>Open Graph tags parsed on all 421 live pages</t>
        </is>
      </c>
      <c r="F12" s="23" t="inlineStr">
        <is>
          <t>421 pages</t>
        </is>
      </c>
      <c r="G12" s="23" t="inlineStr">
        <is>
          <t>7</t>
        </is>
      </c>
    </row>
    <row r="13" ht="56" customHeight="1">
      <c r="A13" s="13" t="inlineStr">
        <is>
          <t>F12</t>
        </is>
      </c>
      <c r="B13" s="31" t="inlineStr">
        <is>
          <t>Medium</t>
        </is>
      </c>
      <c r="C13" s="27" t="inlineStr">
        <is>
          <t>Breadcrumbs are two levels and stale</t>
        </is>
      </c>
      <c r="D13" s="13" t="inlineStr">
        <is>
          <t>Position 1 is hardcoded to 'inBeat - #1 Micro Influencer Agency in North America', which no longer matches the homepage title. Posts get Home &gt; Post with no /blog tier.</t>
        </is>
      </c>
      <c r="E13" s="13" t="inlineStr">
        <is>
          <t>Breadcrumb script read from site custom code</t>
        </is>
      </c>
      <c r="F13" s="13" t="inlineStr">
        <is>
          <t>All pages</t>
        </is>
      </c>
      <c r="G13" s="13" t="inlineStr">
        <is>
          <t>7</t>
        </is>
      </c>
    </row>
    <row r="14" ht="56" customHeight="1">
      <c r="A14" s="23" t="inlineStr">
        <is>
          <t>OK1</t>
        </is>
      </c>
      <c r="B14" s="32" t="inlineStr">
        <is>
          <t>Clean</t>
        </is>
      </c>
      <c r="C14" s="25" t="inlineStr">
        <is>
          <t>Canonicals, H1s and alt text are correct</t>
        </is>
      </c>
      <c r="D14" s="23" t="inlineStr">
        <is>
          <t>All 421 live pages self-canonicalise with zero missing or mismatched canonicals. Every page has a title. Zero images missing alt. The robots.txt AI-crawler policy is well built.</t>
        </is>
      </c>
      <c r="E14" s="23" t="inlineStr">
        <is>
          <t>Full crawl of 421 pages</t>
        </is>
      </c>
      <c r="F14" s="23" t="inlineStr">
        <is>
          <t>421 pages</t>
        </is>
      </c>
      <c r="G14" s="23" t="inlineStr">
        <is>
          <t>-</t>
        </is>
      </c>
    </row>
  </sheetData>
  <autoFilter ref="A1:G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2" customWidth="1" min="2" max="2"/>
    <col width="62" customWidth="1" min="3" max="3"/>
    <col width="18" customWidth="1" min="4" max="4"/>
    <col width="16" customWidth="1" min="5" max="5"/>
    <col width="34" customWidth="1" min="6" max="6"/>
    <col width="13" customWidth="1" min="7" max="7"/>
  </cols>
  <sheetData>
    <row r="1" ht="30" customHeight="1">
      <c r="A1" s="10" t="inlineStr">
        <is>
          <t>Ref</t>
        </is>
      </c>
      <c r="B1" s="10" t="inlineStr">
        <is>
          <t>Decision needed</t>
        </is>
      </c>
      <c r="C1" s="10" t="inlineStr">
        <is>
          <t>Why it matters</t>
        </is>
      </c>
      <c r="D1" s="10" t="inlineStr">
        <is>
          <t>What it unblocks</t>
        </is>
      </c>
      <c r="E1" s="10" t="inlineStr">
        <is>
          <t>Owner</t>
        </is>
      </c>
      <c r="F1" s="10" t="inlineStr">
        <is>
          <t>Answer</t>
        </is>
      </c>
      <c r="G1" s="10" t="inlineStr">
        <is>
          <t>Decided on</t>
        </is>
      </c>
    </row>
    <row r="2" ht="48" customHeight="1">
      <c r="A2" s="13" t="n">
        <v>36</v>
      </c>
      <c r="B2" s="27" t="inlineStr">
        <is>
          <t>Publishing window, or a branch-and-merge decision</t>
        </is>
      </c>
      <c r="C2" s="13" t="inlineStr">
        <is>
          <t>Publishing pushes the whole site; unpublished non-draft changes were staged during the audit</t>
        </is>
      </c>
      <c r="D2" s="13" t="inlineStr">
        <is>
          <t>Blocks all</t>
        </is>
      </c>
      <c r="E2" s="13" t="inlineStr">
        <is>
          <t>David</t>
        </is>
      </c>
      <c r="F2" s="15" t="inlineStr">
        <is>
          <t>e.g. Thursday 21 Aug, after the team stands down</t>
        </is>
      </c>
      <c r="G2" s="15" t="inlineStr">
        <is>
          <t>2026-08-14</t>
        </is>
      </c>
    </row>
    <row r="3" ht="48" customHeight="1">
      <c r="A3" s="13" t="n">
        <v>37</v>
      </c>
      <c r="B3" s="27" t="inlineStr">
        <is>
          <t>Designer access, or a named person for changes 25-31</t>
        </is>
      </c>
      <c r="C3" s="13" t="inlineStr">
        <is>
          <t>Seven changes are Designer-only and cannot be done through MCP</t>
        </is>
      </c>
      <c r="D3" s="13" t="inlineStr">
        <is>
          <t>Blocks 4,5,6</t>
        </is>
      </c>
      <c r="E3" s="13" t="inlineStr">
        <is>
          <t>David</t>
        </is>
      </c>
      <c r="F3" s="15" t="inlineStr"/>
      <c r="G3" s="15" t="inlineStr"/>
    </row>
    <row r="4" ht="48" customHeight="1">
      <c r="A4" s="13" t="n">
        <v>38</v>
      </c>
      <c r="B4" s="27" t="inlineStr">
        <is>
          <t>Sign-off that /author/{slug} is the canonical pattern</t>
        </is>
      </c>
      <c r="C4" s="13" t="inlineStr">
        <is>
          <t>Changes 181 internal links and needs a redirect set; not free to reverse</t>
        </is>
      </c>
      <c r="D4" s="13" t="inlineStr">
        <is>
          <t>Blocks phase 2</t>
        </is>
      </c>
      <c r="E4" s="13" t="inlineStr">
        <is>
          <t>David</t>
        </is>
      </c>
      <c r="F4" s="15" t="inlineStr"/>
      <c r="G4" s="15" t="inlineStr"/>
    </row>
    <row r="5" ht="48" customHeight="1">
      <c r="A5" s="13" t="n">
        <v>39</v>
      </c>
      <c r="B5" s="27" t="inlineStr">
        <is>
          <t>Role, bio, LinkedIn and headshot for each real author</t>
        </is>
      </c>
      <c r="C5" s="13" t="inlineStr">
        <is>
          <t>Person schema with no supporting content is a claim of expertise with no evidence</t>
        </is>
      </c>
      <c r="D5" s="13" t="inlineStr">
        <is>
          <t>~11 authors</t>
        </is>
      </c>
      <c r="E5" s="13" t="inlineStr">
        <is>
          <t>Content team</t>
        </is>
      </c>
      <c r="F5" s="15" t="inlineStr"/>
      <c r="G5" s="15" t="inlineStr"/>
    </row>
    <row r="6" ht="48" customHeight="1">
      <c r="A6" s="13" t="n">
        <v>40</v>
      </c>
      <c r="B6" s="27" t="inlineStr">
        <is>
          <t>Ruling on jhon, sarah, luz, precious, peter</t>
        </is>
      </c>
      <c r="C6" s="13" t="inlineStr">
        <is>
          <t>Placeholder author records with no bios, 4 posts between them; 'jhon' looks like a typo</t>
        </is>
      </c>
      <c r="D6" s="13" t="inlineStr">
        <is>
          <t>5 records</t>
        </is>
      </c>
      <c r="E6" s="13" t="inlineStr">
        <is>
          <t>David</t>
        </is>
      </c>
      <c r="F6" s="15" t="inlineStr"/>
      <c r="G6" s="15" t="inlineStr"/>
    </row>
    <row r="7" ht="48" customHeight="1">
      <c r="A7" s="13" t="n">
        <v>41</v>
      </c>
      <c r="B7" s="27" t="inlineStr">
        <is>
          <t>Whether dateModified comes from system Last Updated or a new field</t>
        </is>
      </c>
      <c r="C7" s="13" t="inlineStr">
        <is>
          <t>Automatic timestamps change on every trivial edit, which dilutes the freshness signal</t>
        </is>
      </c>
      <c r="D7" s="13" t="inlineStr">
        <is>
          <t>Blocks 13</t>
        </is>
      </c>
      <c r="E7" s="13" t="inlineStr">
        <is>
          <t>David</t>
        </is>
      </c>
      <c r="F7" s="15" t="inlineStr"/>
      <c r="G7" s="15" t="inlineStr"/>
    </row>
    <row r="8" ht="48" customHeight="1">
      <c r="A8" s="13" t="n">
        <v>42</v>
      </c>
      <c r="B8" s="27" t="inlineStr">
        <is>
          <t>Review of the 257 drafted title tags</t>
        </is>
      </c>
      <c r="C8" s="13" t="inlineStr">
        <is>
          <t>Titles will be drafted for approval rather than pushed blind</t>
        </is>
      </c>
      <c r="D8" s="13" t="inlineStr">
        <is>
          <t>257 pages</t>
        </is>
      </c>
      <c r="E8" s="13" t="inlineStr">
        <is>
          <t>SEO team</t>
        </is>
      </c>
      <c r="F8" s="15" t="inlineStr"/>
      <c r="G8" s="15" t="inlineStr"/>
    </row>
    <row r="9" ht="48" customHeight="1">
      <c r="A9" s="13" t="n">
        <v>43</v>
      </c>
      <c r="B9" s="27" t="inlineStr">
        <is>
          <t>Whether category URLs move now or later</t>
        </is>
      </c>
      <c r="C9" s="13" t="inlineStr">
        <is>
          <t>Cleaner structure, but costs another redirect set</t>
        </is>
      </c>
      <c r="D9" s="13" t="inlineStr">
        <is>
          <t>Blocks 31,35</t>
        </is>
      </c>
      <c r="E9" s="13" t="inlineStr">
        <is>
          <t>David</t>
        </is>
      </c>
      <c r="F9" s="15" t="inlineStr"/>
      <c r="G9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2026-08-13T18:03:19Z</dcterms:created>
  <dcterms:modified xsi:type="dcterms:W3CDTF">2026-08-13T18:03:20Z</dcterms:modified>
</cp:coreProperties>
</file>